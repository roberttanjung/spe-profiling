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berth.Tanjung\Downloads\"/>
    </mc:Choice>
  </mc:AlternateContent>
  <xr:revisionPtr revIDLastSave="0" documentId="13_ncr:1_{B01FFD08-CED1-49EB-8EE2-ABCC8FEE0C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1" l="1"/>
  <c r="L20" i="1" l="1" a="1"/>
  <c r="L20" i="1" s="1"/>
  <c r="L19" i="1" a="1"/>
  <c r="L19" i="1" s="1"/>
  <c r="L18" i="1" a="1"/>
  <c r="L18" i="1" s="1"/>
  <c r="L17" i="1" l="1"/>
  <c r="L31" i="1"/>
  <c r="L30" i="1"/>
  <c r="L29" i="1"/>
  <c r="L24" i="1"/>
  <c r="L22" i="1"/>
  <c r="L21" i="1"/>
  <c r="F57" i="1" l="1"/>
  <c r="F58" i="1"/>
  <c r="G57" i="1" l="1"/>
  <c r="B63" i="1" s="1"/>
  <c r="D6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tc={2880D911-8103-4420-88E3-8273B22AB9A1}</author>
    <author>tc={F7A613E0-3AD3-49AB-A511-EE21F529994C}</author>
    <author>tc={6DED5EBC-1C17-416C-9B63-EE40B8187170}</author>
  </authors>
  <commentList>
    <comment ref="G29" authorId="0" shapeId="0" xr:uid="{2880D911-8103-4420-88E3-8273B22AB9A1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Build AI-Powered Apps with OpenAI and Node.js
https://solusipembayaranelektronik-my.sharepoint.com/:f:/r/personal/robert_tanjung_spesolution_com/Documents/Reports/SPV/Raker/2025/evidences/Certificate?csf=1&amp;web=1&amp;e=CIz1nv
Front End Day “Build AI-Powered Apps with OpenAI and Node.js”
https://solusipembayaranelektronik-my.sharepoint.com/:v:/r/personal/robert_tanjung_spesolution_com/Documents/Reports/SPV/Raker/2025/evidences/Achievement%20%26%20Innovation/Agmar%20Putra/Agmar%20-%20FE%20Day.mp4?csf=1&amp;web=1&amp;nav=eyJyZWZlcnJhbEluZm8iOnsicmVmZXJyYWxBcHAiOiJPbmVEcml2ZUZvckJ1c2luZXNzIiwicmVmZXJyYWxBcHBQbGF0Zm9ybSI6IldlYiIsInJlZmVycmFsTW9kZSI6InZpZXciLCJyZWZlcnJhbFZpZXciOiJNeUZpbGVzTGlua0NvcHkifX0&amp;e=BFLLxf</t>
        </r>
      </text>
    </comment>
    <comment ref="G30" authorId="1" shapeId="0" xr:uid="{F7A613E0-3AD3-49AB-A511-EE21F529994C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Sprint Documentation Evidence - Robert Tanjung - PA 2025.xlsx</t>
        </r>
      </text>
    </comment>
    <comment ref="G31" authorId="2" shapeId="0" xr:uid="{6DED5EBC-1C17-416C-9B63-EE40B8187170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Agmar Putra - Kerja Sama Tim.png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<sst xmlns="http://schemas.openxmlformats.org/spreadsheetml/2006/main" count="152" uniqueCount="114">
  <si>
    <t>Review of Individual Performance</t>
  </si>
  <si>
    <t>Duration : 2025</t>
  </si>
  <si>
    <t>Evaluator</t>
  </si>
  <si>
    <t>Employee</t>
  </si>
  <si>
    <t>ID Employee</t>
  </si>
  <si>
    <t>RT230377</t>
  </si>
  <si>
    <t>AP220284</t>
  </si>
  <si>
    <t>Name</t>
  </si>
  <si>
    <t>Robert Tanjung</t>
  </si>
  <si>
    <t>Agmar Putra</t>
  </si>
  <si>
    <t>Position</t>
  </si>
  <si>
    <t>Supervisor of Front End Engineer</t>
  </si>
  <si>
    <t>Front End Engineer</t>
  </si>
  <si>
    <t>Level/Grade</t>
  </si>
  <si>
    <t>II/3</t>
  </si>
  <si>
    <t>Main (80%)</t>
  </si>
  <si>
    <t>No</t>
  </si>
  <si>
    <t>Individual Key Results</t>
  </si>
  <si>
    <t>Parameter</t>
  </si>
  <si>
    <t>Target Standard</t>
  </si>
  <si>
    <t>Description</t>
  </si>
  <si>
    <t>Achievement</t>
  </si>
  <si>
    <t>PICA</t>
  </si>
  <si>
    <t>Results 
 (%)</t>
  </si>
  <si>
    <t>Rating</t>
  </si>
  <si>
    <t>Actual</t>
  </si>
  <si>
    <t>Percentage (bobot) 
 (%)</t>
  </si>
  <si>
    <t>Evaluation
 (- / X / O)</t>
  </si>
  <si>
    <t>Problem Identification</t>
  </si>
  <si>
    <t>Corrective Action/Improvement Plan</t>
  </si>
  <si>
    <t xml:space="preserve">Ketepatan pengerjaan Sprint (done dev) dalam project yg diberikan </t>
  </si>
  <si>
    <t>Report Sprint</t>
  </si>
  <si>
    <t>Ketepatan penyelesaian sprint development secara waktu dan kesesuaian dengan requirement sistem. Dalam persentase</t>
  </si>
  <si>
    <t xml:space="preserve">Rasio bugs tidak melebihi rasio 1:0,3 (setiap 10 task boleh menghasilkan tidak lebih dari 3 bugs) </t>
  </si>
  <si>
    <t>Report Bugs</t>
  </si>
  <si>
    <t>Rasio bugs yang dihasilkan dalam development. Dalam persentase. Jika rasio bugs kurang dari 0,3 maka nilai maksimum yang dapat diambil adalah 0,2</t>
  </si>
  <si>
    <t>Rata-rata jumlah bobot pekerjaan (task) yang dikerjakan dalam 1 bulan</t>
  </si>
  <si>
    <t>Rata-rata jumlah bobot pekerjaan (task) yang dikerjakan dalam 1 bulan per tribe</t>
  </si>
  <si>
    <t>Rata-rata jumlah tugas (task) yang dikerjakan dalam 1 bulan</t>
  </si>
  <si>
    <t>Membuat regular report sesuai ketentuan dan waktu yg telah ditentukan</t>
  </si>
  <si>
    <t>Report harian / mingguan</t>
  </si>
  <si>
    <t>Laporan yg dibuat oleh tim. Dalam persentase</t>
  </si>
  <si>
    <t>Aktifitas di gitlab minimal 1 kali dalam 1 hari</t>
  </si>
  <si>
    <t>Active Days</t>
  </si>
  <si>
    <t>Aktifitas di Gitlab minimal 1 kali dalam 1 hari (kehadiran). 1 bulan dihitung 17 hari. Dalam persentase</t>
  </si>
  <si>
    <t>Tingkat efisiensi produksi kode yang tidak high churn rate</t>
  </si>
  <si>
    <t>Gitlab</t>
  </si>
  <si>
    <t>Persentase tingkat efisiensi produksi</t>
  </si>
  <si>
    <t>Kualitas code yang dihasilkan</t>
  </si>
  <si>
    <t>Review Code</t>
  </si>
  <si>
    <t>Apakah code yang dihasilkan sudah cukup berkualitas dilihat dari beberapa parameter seperti Readability, Consistent Formatting, Naming Convention, Commenting/Documentation, Maintainability, Error Handling, Unit Testing dan Secure Code</t>
  </si>
  <si>
    <t>Development (20%)</t>
  </si>
  <si>
    <t>Melakukan program pengembangan diri berdasarkan arahan dari atasan</t>
  </si>
  <si>
    <t>Development Program</t>
  </si>
  <si>
    <t>Mengikuti dan menyelesaikan development yang diikuti</t>
  </si>
  <si>
    <t>Dokumentasi task / sprint yg sudah dilakukan</t>
  </si>
  <si>
    <t>Report dokumentasi sprint</t>
  </si>
  <si>
    <t>Dokumentasi hasil kerja yang dilakukan</t>
  </si>
  <si>
    <t>Kerjasama dan hubungan kerja di dalam tim</t>
  </si>
  <si>
    <t>Kerjasama antar tim</t>
  </si>
  <si>
    <t>Dapat bekerja sama dengan baik dalam hubungan kerja</t>
  </si>
  <si>
    <t>Success</t>
  </si>
  <si>
    <t>Comment</t>
  </si>
  <si>
    <t>Strength Area</t>
  </si>
  <si>
    <t>Development Area</t>
  </si>
  <si>
    <t>Development Plan</t>
  </si>
  <si>
    <t>Competencies Suggested</t>
  </si>
  <si>
    <t>Activity</t>
  </si>
  <si>
    <t>Target</t>
  </si>
  <si>
    <t>Due-date</t>
  </si>
  <si>
    <t>Summary</t>
  </si>
  <si>
    <t>KPI</t>
  </si>
  <si>
    <t>Keterangan</t>
  </si>
  <si>
    <t>Result %</t>
  </si>
  <si>
    <t>Score KPI</t>
  </si>
  <si>
    <t>Main 80</t>
  </si>
  <si>
    <t>Total Result KPI Main X Bobot KPI</t>
  </si>
  <si>
    <t>Development 20</t>
  </si>
  <si>
    <t>Total Result KPI Developmetn X Bobot KPI</t>
  </si>
  <si>
    <t>Total Score</t>
  </si>
  <si>
    <t>Score</t>
  </si>
  <si>
    <t>Category</t>
  </si>
  <si>
    <t>User's Decision Score</t>
  </si>
  <si>
    <t>User's Decision Category</t>
  </si>
  <si>
    <t>Human Capital</t>
  </si>
  <si>
    <t>Division Manager</t>
  </si>
  <si>
    <t>( Agmar Putra )</t>
  </si>
  <si>
    <t>( Robert Tanjung )</t>
  </si>
  <si>
    <t>( )</t>
  </si>
  <si>
    <t>Note:</t>
  </si>
  <si>
    <t>*Convertion</t>
  </si>
  <si>
    <t>Categorize</t>
  </si>
  <si>
    <t>Positive</t>
  </si>
  <si>
    <t>Negative</t>
  </si>
  <si>
    <t>Result (%)</t>
  </si>
  <si>
    <t>&gt; 125%</t>
  </si>
  <si>
    <t>Excellent</t>
  </si>
  <si>
    <t>0 - 15%</t>
  </si>
  <si>
    <t>&gt;115% s.d 125%</t>
  </si>
  <si>
    <t>Very Good</t>
  </si>
  <si>
    <t>&gt;15% s.d 30%</t>
  </si>
  <si>
    <t>&gt;85% s.d 115%</t>
  </si>
  <si>
    <t>Good</t>
  </si>
  <si>
    <t>&gt;30% s.d 50%</t>
  </si>
  <si>
    <t>&gt;75% s.d 85%</t>
  </si>
  <si>
    <t>Fair</t>
  </si>
  <si>
    <t>&gt;50% s.d 70%</t>
  </si>
  <si>
    <t>≤ 75%</t>
  </si>
  <si>
    <t>Poor</t>
  </si>
  <si>
    <t>&gt; 70%</t>
  </si>
  <si>
    <t>*Formula</t>
  </si>
  <si>
    <t>Weight</t>
  </si>
  <si>
    <t>*Terms &amp; Conditions</t>
  </si>
  <si>
    <t>percentage for Main &amp; Development based on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</si>
</sst>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76B5FA"/>
        <bgColor rgb="FF76B5FA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000000"/>
        <bgColor rgb="FF000000"/>
      </patternFill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76B5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7C8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9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1" fillId="0" borderId="2" xfId="0" applyFont="1" applyBorder="1" applyAlignment="1">
      <alignment vertical="top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1" fillId="0" borderId="0" xfId="0" applyFont="1" applyAlignment="1">
      <alignment vertical="top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0" fontId="1" fillId="0" borderId="0" xfId="0" applyNumberFormat="1" applyFont="1"/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3" fillId="5" borderId="7" xfId="0" applyFont="1" applyFill="1" applyBorder="1" applyAlignment="1">
      <alignment vertical="top"/>
    </xf>
    <xf numFmtId="0" fontId="1" fillId="0" borderId="7" xfId="0" applyFont="1" applyBorder="1"/>
    <xf numFmtId="0" fontId="1" fillId="0" borderId="7" xfId="0" applyFont="1" applyBorder="1" applyAlignment="1">
      <alignment wrapText="1"/>
    </xf>
    <xf numFmtId="0" fontId="4" fillId="0" borderId="0" xfId="0" applyFont="1" applyAlignment="1">
      <alignment wrapText="1"/>
    </xf>
    <xf numFmtId="0" fontId="1" fillId="11" borderId="0" xfId="0" applyFont="1" applyFill="1"/>
    <xf numFmtId="0" fontId="1" fillId="11" borderId="0" xfId="0" applyFont="1" applyFill="1" applyAlignment="1">
      <alignment wrapText="1"/>
    </xf>
    <xf numFmtId="0" fontId="3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wrapText="1"/>
    </xf>
    <xf numFmtId="0" fontId="3" fillId="12" borderId="7" xfId="0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0" fontId="3" fillId="12" borderId="7" xfId="0" applyFont="1" applyFill="1" applyBorder="1" applyAlignment="1">
      <alignment horizontal="center" wrapText="1"/>
    </xf>
    <xf numFmtId="0" fontId="3" fillId="12" borderId="7" xfId="0" applyFont="1" applyFill="1" applyBorder="1"/>
    <xf numFmtId="0" fontId="3" fillId="14" borderId="7" xfId="0" applyFont="1" applyFill="1" applyBorder="1" applyAlignment="1">
      <alignment horizontal="center"/>
    </xf>
    <xf numFmtId="0" fontId="3" fillId="14" borderId="7" xfId="0" applyFont="1" applyFill="1" applyBorder="1"/>
    <xf numFmtId="0" fontId="1" fillId="0" borderId="7" xfId="0" applyFont="1" applyBorder="1" applyAlignment="1">
      <alignment horizontal="center"/>
    </xf>
    <xf numFmtId="0" fontId="6" fillId="16" borderId="19" xfId="0" applyFont="1" applyFill="1" applyBorder="1" applyAlignment="1">
      <alignment horizontal="center" wrapText="1"/>
    </xf>
    <xf numFmtId="0" fontId="6" fillId="17" borderId="19" xfId="0" applyFont="1" applyFill="1" applyBorder="1" applyAlignment="1">
      <alignment horizontal="center" vertical="center" wrapText="1"/>
    </xf>
    <xf numFmtId="9" fontId="5" fillId="18" borderId="19" xfId="0" applyNumberFormat="1" applyFont="1" applyFill="1" applyBorder="1" applyAlignment="1">
      <alignment horizontal="center" vertical="center" wrapText="1"/>
    </xf>
    <xf numFmtId="0" fontId="6" fillId="19" borderId="19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3" fillId="5" borderId="15" xfId="0" applyFont="1" applyFill="1" applyBorder="1" applyAlignment="1">
      <alignment vertical="top"/>
    </xf>
    <xf numFmtId="0" fontId="3" fillId="5" borderId="15" xfId="0" applyFont="1" applyFill="1" applyBorder="1" applyAlignment="1">
      <alignment horizontal="center" vertical="center"/>
    </xf>
    <xf numFmtId="9" fontId="1" fillId="0" borderId="15" xfId="0" applyNumberFormat="1" applyFont="1" applyBorder="1" applyAlignment="1">
      <alignment horizontal="center" vertical="center"/>
    </xf>
    <xf numFmtId="0" fontId="6" fillId="16" borderId="30" xfId="0" applyFont="1" applyFill="1" applyBorder="1" applyAlignment="1">
      <alignment wrapText="1"/>
    </xf>
    <xf numFmtId="0" fontId="5" fillId="17" borderId="30" xfId="0" applyFont="1" applyFill="1" applyBorder="1" applyAlignment="1">
      <alignment horizontal="center" vertical="top" wrapText="1"/>
    </xf>
    <xf numFmtId="0" fontId="5" fillId="19" borderId="30" xfId="0" applyFont="1" applyFill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5" fillId="0" borderId="24" xfId="0" applyFont="1" applyBorder="1" applyAlignment="1">
      <alignment wrapText="1"/>
    </xf>
    <xf numFmtId="0" fontId="1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9" fontId="1" fillId="0" borderId="4" xfId="1" applyFont="1" applyBorder="1" applyAlignment="1">
      <alignment horizontal="center" vertical="center"/>
    </xf>
    <xf numFmtId="9" fontId="1" fillId="0" borderId="7" xfId="1" applyFont="1" applyBorder="1" applyAlignment="1">
      <alignment horizontal="center" vertical="center"/>
    </xf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1" fillId="0" borderId="5" xfId="0" applyFont="1" applyBorder="1"/>
    <xf numFmtId="0" fontId="7" fillId="0" borderId="5" xfId="0" applyFont="1" applyBorder="1"/>
    <xf numFmtId="0" fontId="7" fillId="0" borderId="4" xfId="0" applyFont="1" applyBorder="1"/>
    <xf numFmtId="0" fontId="1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6" fillId="15" borderId="20" xfId="0" applyFont="1" applyFill="1" applyBorder="1" applyAlignment="1">
      <alignment horizontal="center" wrapText="1"/>
    </xf>
    <xf numFmtId="0" fontId="6" fillId="15" borderId="17" xfId="0" applyFont="1" applyFill="1" applyBorder="1" applyAlignment="1">
      <alignment horizontal="center" wrapText="1"/>
    </xf>
    <xf numFmtId="0" fontId="6" fillId="15" borderId="18" xfId="0" applyFont="1" applyFill="1" applyBorder="1" applyAlignment="1">
      <alignment horizontal="center" wrapText="1"/>
    </xf>
    <xf numFmtId="0" fontId="6" fillId="16" borderId="16" xfId="0" applyFont="1" applyFill="1" applyBorder="1" applyAlignment="1">
      <alignment horizontal="center" wrapText="1"/>
    </xf>
    <xf numFmtId="0" fontId="6" fillId="16" borderId="18" xfId="0" applyFont="1" applyFill="1" applyBorder="1" applyAlignment="1">
      <alignment horizontal="center" wrapText="1"/>
    </xf>
    <xf numFmtId="0" fontId="6" fillId="16" borderId="17" xfId="0" applyFont="1" applyFill="1" applyBorder="1" applyAlignment="1">
      <alignment horizontal="center" wrapText="1"/>
    </xf>
    <xf numFmtId="0" fontId="5" fillId="18" borderId="16" xfId="0" applyFont="1" applyFill="1" applyBorder="1" applyAlignment="1">
      <alignment vertical="center" wrapText="1"/>
    </xf>
    <xf numFmtId="0" fontId="5" fillId="18" borderId="18" xfId="0" applyFont="1" applyFill="1" applyBorder="1" applyAlignment="1">
      <alignment vertical="center" wrapText="1"/>
    </xf>
    <xf numFmtId="9" fontId="5" fillId="0" borderId="20" xfId="0" applyNumberFormat="1" applyFont="1" applyBorder="1" applyAlignment="1">
      <alignment horizontal="center" vertical="center" wrapText="1"/>
    </xf>
    <xf numFmtId="9" fontId="5" fillId="0" borderId="21" xfId="0" applyNumberFormat="1" applyFont="1" applyBorder="1" applyAlignment="1">
      <alignment horizontal="center" vertical="center" wrapText="1"/>
    </xf>
    <xf numFmtId="9" fontId="5" fillId="0" borderId="22" xfId="0" applyNumberFormat="1" applyFont="1" applyBorder="1" applyAlignment="1">
      <alignment horizontal="center" vertical="center" wrapText="1"/>
    </xf>
    <xf numFmtId="9" fontId="5" fillId="0" borderId="26" xfId="0" applyNumberFormat="1" applyFont="1" applyBorder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9" fontId="5" fillId="0" borderId="27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20" borderId="23" xfId="0" applyFont="1" applyFill="1" applyBorder="1" applyAlignment="1">
      <alignment horizontal="center" vertical="top" wrapText="1"/>
    </xf>
    <xf numFmtId="0" fontId="6" fillId="20" borderId="17" xfId="0" applyFont="1" applyFill="1" applyBorder="1" applyAlignment="1">
      <alignment horizontal="center" vertical="top" wrapText="1"/>
    </xf>
    <xf numFmtId="0" fontId="3" fillId="13" borderId="5" xfId="0" applyFont="1" applyFill="1" applyBorder="1" applyAlignment="1">
      <alignment horizontal="center"/>
    </xf>
    <xf numFmtId="0" fontId="3" fillId="14" borderId="5" xfId="0" applyFont="1" applyFill="1" applyBorder="1"/>
    <xf numFmtId="0" fontId="3" fillId="0" borderId="5" xfId="0" applyFont="1" applyBorder="1"/>
    <xf numFmtId="0" fontId="1" fillId="0" borderId="0" xfId="0" applyFont="1"/>
    <xf numFmtId="0" fontId="1" fillId="0" borderId="1" xfId="0" applyFont="1" applyBorder="1"/>
    <xf numFmtId="0" fontId="7" fillId="0" borderId="1" xfId="0" applyFont="1" applyBorder="1"/>
    <xf numFmtId="0" fontId="1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1" xfId="0" applyFont="1" applyBorder="1"/>
    <xf numFmtId="0" fontId="7" fillId="0" borderId="7" xfId="0" applyFont="1" applyBorder="1"/>
    <xf numFmtId="0" fontId="3" fillId="5" borderId="8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3" fillId="5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3" fillId="4" borderId="5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7" fillId="0" borderId="9" xfId="0" applyFont="1" applyBorder="1"/>
    <xf numFmtId="0" fontId="3" fillId="5" borderId="8" xfId="0" applyFont="1" applyFill="1" applyBorder="1" applyAlignment="1">
      <alignment horizontal="center" wrapText="1"/>
    </xf>
    <xf numFmtId="0" fontId="7" fillId="0" borderId="14" xfId="0" applyFont="1" applyBorder="1"/>
    <xf numFmtId="0" fontId="3" fillId="5" borderId="11" xfId="0" applyFont="1" applyFill="1" applyBorder="1" applyAlignment="1">
      <alignment horizontal="center"/>
    </xf>
    <xf numFmtId="0" fontId="7" fillId="0" borderId="11" xfId="0" applyFont="1" applyBorder="1"/>
    <xf numFmtId="0" fontId="3" fillId="5" borderId="5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7" fillId="0" borderId="12" xfId="0" applyFont="1" applyBorder="1"/>
    <xf numFmtId="0" fontId="3" fillId="7" borderId="1" xfId="0" applyFont="1" applyFill="1" applyBorder="1" applyAlignment="1">
      <alignment horizontal="center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 wrapText="1"/>
    </xf>
    <xf numFmtId="0" fontId="6" fillId="20" borderId="16" xfId="0" applyFont="1" applyFill="1" applyBorder="1" applyAlignment="1">
      <alignment horizontal="center" wrapText="1"/>
    </xf>
    <xf numFmtId="0" fontId="6" fillId="20" borderId="18" xfId="0" applyFont="1" applyFill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6" fillId="20" borderId="17" xfId="0" applyFont="1" applyFill="1" applyBorder="1" applyAlignment="1">
      <alignment horizontal="center" wrapText="1"/>
    </xf>
    <xf numFmtId="0" fontId="5" fillId="20" borderId="30" xfId="0" applyFont="1" applyFill="1" applyBorder="1" applyAlignment="1">
      <alignment horizontal="center" vertical="top" wrapText="1"/>
    </xf>
    <xf numFmtId="9" fontId="6" fillId="20" borderId="20" xfId="0" applyNumberFormat="1" applyFont="1" applyFill="1" applyBorder="1" applyAlignment="1">
      <alignment horizontal="center" vertical="center" wrapText="1"/>
    </xf>
    <xf numFmtId="9" fontId="6" fillId="20" borderId="22" xfId="0" applyNumberFormat="1" applyFont="1" applyFill="1" applyBorder="1" applyAlignment="1">
      <alignment horizontal="center" vertical="center" wrapText="1"/>
    </xf>
    <xf numFmtId="9" fontId="6" fillId="20" borderId="26" xfId="0" applyNumberFormat="1" applyFont="1" applyFill="1" applyBorder="1" applyAlignment="1">
      <alignment horizontal="center" vertical="center" wrapText="1"/>
    </xf>
    <xf numFmtId="9" fontId="6" fillId="20" borderId="27" xfId="0" applyNumberFormat="1" applyFont="1" applyFill="1" applyBorder="1" applyAlignment="1">
      <alignment horizontal="center" vertical="center" wrapText="1"/>
    </xf>
    <xf numFmtId="9" fontId="6" fillId="20" borderId="23" xfId="0" applyNumberFormat="1" applyFont="1" applyFill="1" applyBorder="1" applyAlignment="1">
      <alignment horizontal="center" vertical="center" wrapText="1"/>
    </xf>
    <xf numFmtId="9" fontId="6" fillId="20" borderId="19" xfId="0" applyNumberFormat="1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5" fillId="0" borderId="25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 Tanjung" id="{0F89D014-AC43-450B-AD6E-D0AFD937785A}" userId="S::robert.tanjung@spesolution.com::9d1a3fa7-f4f9-45ff-b536-81f1d125e1a1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9" dT="2025-12-11T08:01:49.26" personId="{0F89D014-AC43-450B-AD6E-D0AFD937785A}" id="{2880D911-8103-4420-88E3-8273B22AB9A1}">
    <text>Build AI-Powered Apps with OpenAI and Node.js
https://solusipembayaranelektronik-my.sharepoint.com/:f:/r/personal/robert_tanjung_spesolution_com/Documents/Reports/SPV/Raker/2025/evidences/Certificate?csf=1&amp;web=1&amp;e=CIz1nv
Front End Day “Build AI-Powered Apps with OpenAI and Node.js”
https://solusipembayaranelektronik-my.sharepoint.com/:v:/r/personal/robert_tanjung_spesolution_com/Documents/Reports/SPV/Raker/2025/evidences/Achievement%20%26%20Innovation/Agmar%20Putra/Agmar%20-%20FE%20Day.mp4?csf=1&amp;web=1&amp;nav=eyJyZWZlcnJhbEluZm8iOnsicmVmZXJyYWxBcHAiOiJPbmVEcml2ZUZvckJ1c2luZXNzIiwicmVmZXJyYWxBcHBQbGF0Zm9ybSI6IldlYiIsInJlZmVycmFsTW9kZSI6InZpZXciLCJyZWZlcnJhbFZpZXciOiJNeUZpbGVzTGlua0NvcHkifX0&amp;e=BFLLxf</text>
  </threadedComment>
  <threadedComment ref="G30" dT="2025-12-12T09:31:36.51" personId="{0F89D014-AC43-450B-AD6E-D0AFD937785A}" id="{F7A613E0-3AD3-49AB-A511-EE21F529994C}">
    <text>Sprint Documentation Evidence - Robert Tanjung - PA 2025.xlsx</text>
    <extLst>
      <x:ext xmlns:xltc2="http://schemas.microsoft.com/office/spreadsheetml/2020/threadedcomments2" uri="{F7C98A9C-CBB3-438F-8F68-D28B6AF4A901}">
        <xltc2:checksum>1631011161</xltc2:checksum>
        <xltc2:hyperlink startIndex="0" length="61" url="https://solusipembayaranelektronik-my.sharepoint.com/:x:/r/personal/robert_tanjung_spesolution_com/Documents/Reports/SPV/PA/2025/Evidence/Sprint%20Documentation%20Evidence%20-%20Robert%20Tanjung%20-%20PA%202025.xlsx?d=w2560a46f7249443292ba0f4bba12aaa4&amp;csf=1&amp;web=1&amp;e=kC2i7M"/>
      </x:ext>
    </extLst>
  </threadedComment>
  <threadedComment ref="G31" dT="2025-12-12T04:06:39.78" personId="{0F89D014-AC43-450B-AD6E-D0AFD937785A}" id="{6DED5EBC-1C17-416C-9B63-EE40B8187170}">
    <text>Agmar Putra - Kerja Sama Tim.png</text>
    <extLst>
      <x:ext xmlns:xltc2="http://schemas.microsoft.com/office/spreadsheetml/2020/threadedcomments2" uri="{F7C98A9C-CBB3-438F-8F68-D28B6AF4A901}">
        <xltc2:checksum>393947334</xltc2:checksum>
        <xltc2:hyperlink startIndex="0" length="32" url="https://solusipembayaranelektronik-my.sharepoint.com/:i:/r/personal/robert_tanjung_spesolution_com/Documents/Reports/SPV/PA/2025/Evidence/Agmar%20Putra/Agmar%20Putra%20-%20Kerja%20Sama%20Tim.png?csf=1&amp;web=1&amp;e=lh4ciF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zoomScale="80" zoomScaleNormal="80" workbookViewId="0">
      <selection activeCell="B48" sqref="B48:M52"/>
    </sheetView>
  </sheetViews>
  <sheetFormatPr defaultColWidth="12.5546875" defaultRowHeight="15.75" customHeight="1" x14ac:dyDescent="0.25"/>
  <cols>
    <col min="3" max="3" width="45.44140625" customWidth="1"/>
    <col min="4" max="4" width="18.44140625" customWidth="1"/>
    <col min="5" max="5" width="16.109375" customWidth="1"/>
    <col min="6" max="6" width="28.88671875" customWidth="1"/>
    <col min="8" max="8" width="23.5546875" bestFit="1" customWidth="1"/>
    <col min="9" max="9" width="20.33203125" bestFit="1" customWidth="1"/>
    <col min="10" max="10" width="20" customWidth="1"/>
    <col min="11" max="11" width="19" customWidth="1"/>
  </cols>
  <sheetData>
    <row r="1" spans="1:26" ht="15.75" customHeight="1" x14ac:dyDescent="0.3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1"/>
      <c r="B3" s="3"/>
      <c r="C3" s="131" t="s">
        <v>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/>
      <c r="B4" s="133" t="s">
        <v>1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/>
      <c r="B5" s="4"/>
      <c r="C5" s="5"/>
      <c r="D5" s="1"/>
      <c r="E5" s="1"/>
      <c r="F5" s="2"/>
      <c r="G5" s="1"/>
      <c r="H5" s="1"/>
      <c r="I5" s="1"/>
      <c r="J5" s="4"/>
      <c r="K5" s="4"/>
      <c r="L5" s="4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s="1" customFormat="1" ht="15.75" customHeight="1" x14ac:dyDescent="0.3">
      <c r="A6" s="6"/>
      <c r="B6" s="134" t="s">
        <v>2</v>
      </c>
      <c r="C6" s="70"/>
      <c r="D6" s="2"/>
      <c r="G6" s="6"/>
      <c r="H6" s="135" t="s">
        <v>3</v>
      </c>
      <c r="I6" s="69"/>
      <c r="J6" s="69"/>
      <c r="K6" s="70"/>
    </row>
    <row r="7" spans="1:26" s="1" customFormat="1" ht="15.75" customHeight="1" x14ac:dyDescent="0.3">
      <c r="A7" s="6"/>
      <c r="B7" s="7" t="s">
        <v>4</v>
      </c>
      <c r="C7" s="66" t="s">
        <v>5</v>
      </c>
      <c r="D7" s="2"/>
      <c r="G7" s="6"/>
      <c r="H7" s="8" t="s">
        <v>4</v>
      </c>
      <c r="I7" s="121" t="s">
        <v>6</v>
      </c>
      <c r="J7" s="117"/>
      <c r="K7" s="122"/>
    </row>
    <row r="8" spans="1:26" s="1" customFormat="1" ht="15.75" customHeight="1" x14ac:dyDescent="0.3">
      <c r="A8" s="6"/>
      <c r="B8" s="7" t="s">
        <v>7</v>
      </c>
      <c r="C8" s="66" t="s">
        <v>8</v>
      </c>
      <c r="D8" s="2"/>
      <c r="G8" s="6"/>
      <c r="H8" s="8" t="s">
        <v>7</v>
      </c>
      <c r="I8" s="121" t="s">
        <v>9</v>
      </c>
      <c r="J8" s="117"/>
      <c r="K8" s="122"/>
    </row>
    <row r="9" spans="1:26" s="1" customFormat="1" ht="15.75" customHeight="1" x14ac:dyDescent="0.3">
      <c r="A9" s="6"/>
      <c r="B9" s="7" t="s">
        <v>10</v>
      </c>
      <c r="C9" s="66" t="s">
        <v>11</v>
      </c>
      <c r="D9" s="2"/>
      <c r="G9" s="6"/>
      <c r="H9" s="8" t="s">
        <v>10</v>
      </c>
      <c r="I9" s="121" t="s">
        <v>12</v>
      </c>
      <c r="J9" s="117"/>
      <c r="K9" s="122"/>
    </row>
    <row r="10" spans="1:26" s="1" customFormat="1" ht="15.75" customHeight="1" x14ac:dyDescent="0.3">
      <c r="A10" s="6"/>
      <c r="B10" s="7" t="s">
        <v>13</v>
      </c>
      <c r="C10" s="67"/>
      <c r="D10" s="2"/>
      <c r="G10" s="6"/>
      <c r="H10" s="8" t="s">
        <v>13</v>
      </c>
      <c r="I10" s="126" t="s">
        <v>14</v>
      </c>
      <c r="J10" s="127"/>
      <c r="K10" s="128"/>
    </row>
    <row r="11" spans="1:26" s="1" customFormat="1" ht="15.75" customHeight="1" x14ac:dyDescent="0.3">
      <c r="C11" s="2"/>
      <c r="F11" s="2"/>
      <c r="H11" s="2"/>
      <c r="I11" s="2"/>
      <c r="J11" s="2"/>
      <c r="K11" s="2"/>
    </row>
    <row r="12" spans="1:26" s="1" customFormat="1" ht="15.75" customHeight="1" x14ac:dyDescent="0.3">
      <c r="C12" s="2"/>
      <c r="F12" s="2"/>
    </row>
    <row r="13" spans="1:26" s="1" customFormat="1" ht="15.75" customHeight="1" x14ac:dyDescent="0.3">
      <c r="B13" s="4"/>
      <c r="C13" s="5"/>
      <c r="D13" s="4"/>
      <c r="E13" s="4"/>
      <c r="F13" s="5"/>
      <c r="G13" s="4"/>
      <c r="H13" s="4"/>
      <c r="I13" s="4"/>
      <c r="J13" s="4"/>
      <c r="K13" s="4"/>
      <c r="L13" s="4"/>
      <c r="M13" s="4"/>
    </row>
    <row r="14" spans="1:26" s="1" customFormat="1" ht="15.75" customHeight="1" x14ac:dyDescent="0.3">
      <c r="A14" s="6"/>
      <c r="B14" s="129" t="s">
        <v>15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70"/>
    </row>
    <row r="15" spans="1:26" s="1" customFormat="1" ht="15.75" customHeight="1" x14ac:dyDescent="0.3">
      <c r="A15" s="6"/>
      <c r="B15" s="130" t="s">
        <v>16</v>
      </c>
      <c r="C15" s="123" t="s">
        <v>17</v>
      </c>
      <c r="D15" s="130" t="s">
        <v>18</v>
      </c>
      <c r="E15" s="130" t="s">
        <v>19</v>
      </c>
      <c r="F15" s="123" t="s">
        <v>20</v>
      </c>
      <c r="G15" s="125" t="s">
        <v>21</v>
      </c>
      <c r="H15" s="69"/>
      <c r="I15" s="70"/>
      <c r="J15" s="125" t="s">
        <v>22</v>
      </c>
      <c r="K15" s="70"/>
      <c r="L15" s="130" t="s">
        <v>23</v>
      </c>
      <c r="M15" s="130" t="s">
        <v>24</v>
      </c>
    </row>
    <row r="16" spans="1:26" s="1" customFormat="1" ht="14.4" x14ac:dyDescent="0.3">
      <c r="A16" s="9"/>
      <c r="B16" s="124"/>
      <c r="C16" s="124"/>
      <c r="D16" s="124"/>
      <c r="E16" s="124"/>
      <c r="F16" s="124"/>
      <c r="G16" s="10" t="s">
        <v>25</v>
      </c>
      <c r="H16" s="10" t="s">
        <v>26</v>
      </c>
      <c r="I16" s="10" t="s">
        <v>27</v>
      </c>
      <c r="J16" s="11" t="s">
        <v>28</v>
      </c>
      <c r="K16" s="11" t="s">
        <v>29</v>
      </c>
      <c r="L16" s="124"/>
      <c r="M16" s="124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s="1" customFormat="1" ht="78" customHeight="1" x14ac:dyDescent="0.3">
      <c r="B17" s="13">
        <v>1</v>
      </c>
      <c r="C17" s="57" t="s">
        <v>30</v>
      </c>
      <c r="D17" s="14" t="s">
        <v>31</v>
      </c>
      <c r="E17" s="61">
        <v>90</v>
      </c>
      <c r="F17" s="15" t="s">
        <v>32</v>
      </c>
      <c r="G17" s="14"/>
      <c r="H17" s="16">
        <v>0.25</v>
      </c>
      <c r="I17" s="17"/>
      <c r="J17" s="17"/>
      <c r="K17" s="17"/>
      <c r="L17" s="60">
        <f>IF(G17&gt;100, (100/E17)*H17, (G17/E17)*H17)</f>
        <v>0</v>
      </c>
      <c r="M17" s="17"/>
      <c r="R17" s="18"/>
      <c r="S17" s="18"/>
    </row>
    <row r="18" spans="1:26" s="1" customFormat="1" ht="135" customHeight="1" x14ac:dyDescent="0.3">
      <c r="B18" s="19">
        <v>2</v>
      </c>
      <c r="C18" s="58" t="s">
        <v>33</v>
      </c>
      <c r="D18" s="20" t="s">
        <v>34</v>
      </c>
      <c r="E18" s="14">
        <v>0.3</v>
      </c>
      <c r="F18" s="22" t="s">
        <v>35</v>
      </c>
      <c r="G18" s="20"/>
      <c r="H18" s="23">
        <v>0.05</v>
      </c>
      <c r="I18" s="24"/>
      <c r="J18" s="24"/>
      <c r="K18" s="24"/>
      <c r="L18" s="62" cm="1">
        <f t="array" ref="L18">_xlfn.IFS(ISBLANK(G18), 0, G18&lt;0.2, (E18/0.2)*H18, G18&gt;=0.2, (E18/G18)*H18)</f>
        <v>0</v>
      </c>
      <c r="M18" s="24"/>
    </row>
    <row r="19" spans="1:26" s="1" customFormat="1" ht="71.400000000000006" customHeight="1" x14ac:dyDescent="0.3">
      <c r="B19" s="19">
        <v>3</v>
      </c>
      <c r="C19" s="58" t="s">
        <v>36</v>
      </c>
      <c r="D19" s="14" t="s">
        <v>31</v>
      </c>
      <c r="E19" s="21">
        <v>40</v>
      </c>
      <c r="F19" s="22" t="s">
        <v>37</v>
      </c>
      <c r="G19" s="20"/>
      <c r="H19" s="23">
        <v>0.2</v>
      </c>
      <c r="I19" s="24"/>
      <c r="J19" s="24"/>
      <c r="K19" s="24"/>
      <c r="L19" s="63" cm="1">
        <f t="array" ref="L19">_xlfn.IFS(ISBLANK(G19), 0, G19&gt;70, (70/E19)*H19, G19&gt;=0, (G19/E19)*H19)</f>
        <v>0</v>
      </c>
      <c r="M19" s="24"/>
    </row>
    <row r="20" spans="1:26" s="1" customFormat="1" ht="71.400000000000006" customHeight="1" x14ac:dyDescent="0.3">
      <c r="B20" s="13">
        <v>4</v>
      </c>
      <c r="C20" s="58" t="s">
        <v>38</v>
      </c>
      <c r="D20" s="14" t="s">
        <v>31</v>
      </c>
      <c r="E20" s="21">
        <v>20</v>
      </c>
      <c r="F20" s="22" t="s">
        <v>38</v>
      </c>
      <c r="G20" s="20"/>
      <c r="H20" s="23">
        <v>0.15</v>
      </c>
      <c r="I20" s="24"/>
      <c r="J20" s="24"/>
      <c r="K20" s="24"/>
      <c r="L20" s="63" cm="1">
        <f t="array" ref="L20">_xlfn.IFS(ISBLANK(G20), 0, G20&gt;40, (40/E20)*H20, G20&gt;=0, (G20/E20)*H20)</f>
        <v>0</v>
      </c>
      <c r="M20" s="24"/>
    </row>
    <row r="21" spans="1:26" s="1" customFormat="1" ht="40.5" customHeight="1" x14ac:dyDescent="0.3">
      <c r="B21" s="19">
        <v>5</v>
      </c>
      <c r="C21" s="58" t="s">
        <v>39</v>
      </c>
      <c r="D21" s="25" t="s">
        <v>40</v>
      </c>
      <c r="E21" s="64">
        <v>1</v>
      </c>
      <c r="F21" s="22" t="s">
        <v>41</v>
      </c>
      <c r="G21" s="23"/>
      <c r="H21" s="23">
        <v>0.05</v>
      </c>
      <c r="I21" s="24"/>
      <c r="J21" s="24"/>
      <c r="K21" s="24"/>
      <c r="L21" s="63">
        <f t="shared" ref="L21:L24" si="0">(G21/E21)*H21</f>
        <v>0</v>
      </c>
      <c r="M21" s="24"/>
    </row>
    <row r="22" spans="1:26" s="1" customFormat="1" ht="76.2" customHeight="1" x14ac:dyDescent="0.3">
      <c r="B22" s="13">
        <v>6</v>
      </c>
      <c r="C22" s="22" t="s">
        <v>42</v>
      </c>
      <c r="D22" s="25" t="s">
        <v>43</v>
      </c>
      <c r="E22" s="64">
        <v>0.9</v>
      </c>
      <c r="F22" s="22" t="s">
        <v>44</v>
      </c>
      <c r="G22" s="65"/>
      <c r="H22" s="23">
        <v>0.15</v>
      </c>
      <c r="I22" s="24"/>
      <c r="J22" s="24"/>
      <c r="K22" s="24"/>
      <c r="L22" s="63">
        <f t="shared" si="0"/>
        <v>0</v>
      </c>
      <c r="M22" s="24"/>
    </row>
    <row r="23" spans="1:26" s="1" customFormat="1" ht="76.2" customHeight="1" x14ac:dyDescent="0.3">
      <c r="B23" s="19">
        <v>7</v>
      </c>
      <c r="C23" s="22" t="s">
        <v>45</v>
      </c>
      <c r="D23" s="20" t="s">
        <v>46</v>
      </c>
      <c r="E23" s="64">
        <v>0.85</v>
      </c>
      <c r="F23" s="22" t="s">
        <v>47</v>
      </c>
      <c r="G23" s="23"/>
      <c r="H23" s="23">
        <v>0.05</v>
      </c>
      <c r="I23" s="24"/>
      <c r="J23" s="24"/>
      <c r="K23" s="24"/>
      <c r="L23" s="63">
        <f t="shared" ref="L23" si="1">(G23/E23)*H23</f>
        <v>0</v>
      </c>
      <c r="M23" s="24"/>
    </row>
    <row r="24" spans="1:26" s="1" customFormat="1" ht="117.6" customHeight="1" x14ac:dyDescent="0.3">
      <c r="B24" s="19">
        <v>8</v>
      </c>
      <c r="C24" s="22" t="s">
        <v>48</v>
      </c>
      <c r="D24" s="20" t="s">
        <v>49</v>
      </c>
      <c r="E24" s="64">
        <v>0.8</v>
      </c>
      <c r="F24" s="22" t="s">
        <v>50</v>
      </c>
      <c r="G24" s="65"/>
      <c r="H24" s="23">
        <v>0.1</v>
      </c>
      <c r="I24" s="24"/>
      <c r="J24" s="24"/>
      <c r="K24" s="24"/>
      <c r="L24" s="63">
        <f t="shared" si="0"/>
        <v>0</v>
      </c>
      <c r="M24" s="24"/>
    </row>
    <row r="25" spans="1:26" s="1" customFormat="1" ht="14.4" x14ac:dyDescent="0.3">
      <c r="B25" s="4"/>
      <c r="C25" s="5"/>
      <c r="D25" s="4"/>
      <c r="E25" s="4"/>
      <c r="F25" s="5"/>
      <c r="G25" s="4"/>
      <c r="H25" s="4"/>
      <c r="I25" s="4"/>
      <c r="J25" s="4"/>
      <c r="K25" s="4"/>
      <c r="L25" s="4"/>
      <c r="M25" s="4"/>
    </row>
    <row r="26" spans="1:26" s="1" customFormat="1" ht="14.4" x14ac:dyDescent="0.3">
      <c r="A26" s="6"/>
      <c r="B26" s="136" t="s">
        <v>51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22"/>
    </row>
    <row r="27" spans="1:26" s="1" customFormat="1" ht="14.4" x14ac:dyDescent="0.3">
      <c r="A27" s="6"/>
      <c r="B27" s="137" t="s">
        <v>16</v>
      </c>
      <c r="C27" s="139" t="s">
        <v>17</v>
      </c>
      <c r="D27" s="137" t="s">
        <v>18</v>
      </c>
      <c r="E27" s="137" t="s">
        <v>19</v>
      </c>
      <c r="F27" s="139" t="s">
        <v>20</v>
      </c>
      <c r="G27" s="141" t="s">
        <v>21</v>
      </c>
      <c r="H27" s="142"/>
      <c r="I27" s="70"/>
      <c r="J27" s="143" t="s">
        <v>22</v>
      </c>
      <c r="K27" s="70"/>
      <c r="L27" s="137" t="s">
        <v>23</v>
      </c>
      <c r="M27" s="137" t="s">
        <v>24</v>
      </c>
    </row>
    <row r="28" spans="1:26" s="1" customFormat="1" ht="14.4" x14ac:dyDescent="0.3">
      <c r="A28" s="9"/>
      <c r="B28" s="138"/>
      <c r="C28" s="138"/>
      <c r="D28" s="138"/>
      <c r="E28" s="138"/>
      <c r="F28" s="140"/>
      <c r="G28" s="49" t="s">
        <v>25</v>
      </c>
      <c r="H28" s="50" t="s">
        <v>26</v>
      </c>
      <c r="I28" s="26" t="s">
        <v>27</v>
      </c>
      <c r="J28" s="26" t="s">
        <v>28</v>
      </c>
      <c r="K28" s="26" t="s">
        <v>29</v>
      </c>
      <c r="L28" s="138"/>
      <c r="M28" s="138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s="1" customFormat="1" ht="28.8" x14ac:dyDescent="0.3">
      <c r="A29" s="6"/>
      <c r="B29" s="20">
        <v>1</v>
      </c>
      <c r="C29" s="47" t="s">
        <v>52</v>
      </c>
      <c r="D29" s="46" t="s">
        <v>53</v>
      </c>
      <c r="E29" s="59">
        <v>90</v>
      </c>
      <c r="F29" s="48" t="s">
        <v>54</v>
      </c>
      <c r="G29" s="59"/>
      <c r="H29" s="51">
        <v>0.35</v>
      </c>
      <c r="I29" s="27"/>
      <c r="J29" s="27"/>
      <c r="K29" s="27"/>
      <c r="L29" s="23">
        <f>(G29/E29)*H29</f>
        <v>0</v>
      </c>
      <c r="M29" s="27"/>
    </row>
    <row r="30" spans="1:26" s="1" customFormat="1" ht="28.8" x14ac:dyDescent="0.3">
      <c r="A30" s="6"/>
      <c r="B30" s="20">
        <v>2</v>
      </c>
      <c r="C30" s="47" t="s">
        <v>55</v>
      </c>
      <c r="D30" s="46" t="s">
        <v>56</v>
      </c>
      <c r="E30" s="59">
        <v>100</v>
      </c>
      <c r="F30" s="48" t="s">
        <v>57</v>
      </c>
      <c r="G30" s="59"/>
      <c r="H30" s="51">
        <v>0.25</v>
      </c>
      <c r="I30" s="27"/>
      <c r="J30" s="27"/>
      <c r="K30" s="27"/>
      <c r="L30" s="23">
        <f>(G30/E30)*H30</f>
        <v>0</v>
      </c>
      <c r="M30" s="27"/>
    </row>
    <row r="31" spans="1:26" s="1" customFormat="1" ht="28.8" x14ac:dyDescent="0.3">
      <c r="A31" s="6"/>
      <c r="B31" s="20">
        <v>3</v>
      </c>
      <c r="C31" s="47" t="s">
        <v>58</v>
      </c>
      <c r="D31" s="46" t="s">
        <v>59</v>
      </c>
      <c r="E31" s="59">
        <v>90</v>
      </c>
      <c r="F31" s="48" t="s">
        <v>60</v>
      </c>
      <c r="G31" s="59"/>
      <c r="H31" s="51">
        <v>0.4</v>
      </c>
      <c r="I31" s="27"/>
      <c r="J31" s="27"/>
      <c r="K31" s="27"/>
      <c r="L31" s="23">
        <f>(G31/E31)*H31</f>
        <v>0</v>
      </c>
      <c r="M31" s="27"/>
    </row>
    <row r="32" spans="1:26" s="1" customFormat="1" ht="14.4" x14ac:dyDescent="0.3">
      <c r="B32" s="4"/>
      <c r="C32" s="5"/>
      <c r="D32" s="4"/>
      <c r="E32" s="4"/>
      <c r="F32" s="5"/>
      <c r="G32" s="4"/>
      <c r="H32" s="4"/>
      <c r="I32" s="4"/>
      <c r="J32" s="4"/>
      <c r="K32" s="4"/>
      <c r="L32" s="4"/>
      <c r="M32" s="4"/>
    </row>
    <row r="33" spans="1:13" s="1" customFormat="1" ht="14.4" x14ac:dyDescent="0.3">
      <c r="A33" s="6"/>
      <c r="B33" s="148" t="s">
        <v>61</v>
      </c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22"/>
    </row>
    <row r="34" spans="1:13" s="1" customFormat="1" ht="15" customHeight="1" x14ac:dyDescent="0.3">
      <c r="A34" s="6"/>
      <c r="B34" s="80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50"/>
    </row>
    <row r="35" spans="1:13" s="1" customFormat="1" ht="14.4" x14ac:dyDescent="0.3">
      <c r="A35" s="6"/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</row>
    <row r="36" spans="1:13" s="1" customFormat="1" ht="14.4" x14ac:dyDescent="0.3">
      <c r="A36" s="6"/>
      <c r="B36" s="151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</row>
    <row r="37" spans="1:13" s="1" customFormat="1" ht="58.95" customHeight="1" x14ac:dyDescent="0.3">
      <c r="A37" s="6"/>
      <c r="B37" s="154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</row>
    <row r="38" spans="1:13" s="1" customFormat="1" ht="14.4" x14ac:dyDescent="0.3">
      <c r="B38" s="4"/>
      <c r="C38" s="5"/>
      <c r="D38" s="4"/>
      <c r="E38" s="4"/>
      <c r="F38" s="5"/>
      <c r="G38" s="4"/>
      <c r="H38" s="4"/>
      <c r="I38" s="4"/>
      <c r="J38" s="4"/>
      <c r="K38" s="4"/>
      <c r="L38" s="4"/>
      <c r="M38" s="4"/>
    </row>
    <row r="39" spans="1:13" s="1" customFormat="1" ht="14.4" x14ac:dyDescent="0.3">
      <c r="A39" s="6"/>
      <c r="B39" s="148" t="s">
        <v>62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22"/>
    </row>
    <row r="40" spans="1:13" s="1" customFormat="1" ht="14.4" x14ac:dyDescent="0.3">
      <c r="A40" s="6"/>
      <c r="B40" s="157" t="s">
        <v>63</v>
      </c>
      <c r="C40" s="117"/>
      <c r="D40" s="117"/>
      <c r="E40" s="117"/>
      <c r="F40" s="117"/>
      <c r="G40" s="117"/>
      <c r="H40" s="122"/>
      <c r="I40" s="158" t="s">
        <v>64</v>
      </c>
      <c r="J40" s="142"/>
      <c r="K40" s="142"/>
      <c r="L40" s="142"/>
      <c r="M40" s="147"/>
    </row>
    <row r="41" spans="1:13" s="1" customFormat="1" ht="14.4" x14ac:dyDescent="0.3">
      <c r="A41" s="6"/>
      <c r="B41" s="80"/>
      <c r="C41" s="81"/>
      <c r="D41" s="81"/>
      <c r="E41" s="81"/>
      <c r="F41" s="81"/>
      <c r="G41" s="81"/>
      <c r="H41" s="81"/>
      <c r="I41" s="102"/>
      <c r="J41" s="101"/>
      <c r="K41" s="101"/>
      <c r="L41" s="101"/>
      <c r="M41" s="101"/>
    </row>
    <row r="42" spans="1:13" s="1" customFormat="1" ht="14.4" x14ac:dyDescent="0.3">
      <c r="A42" s="6"/>
      <c r="B42" s="82"/>
      <c r="C42" s="83"/>
      <c r="D42" s="83"/>
      <c r="E42" s="83"/>
      <c r="F42" s="83"/>
      <c r="G42" s="83"/>
      <c r="H42" s="83"/>
      <c r="I42" s="101"/>
      <c r="J42" s="101"/>
      <c r="K42" s="101"/>
      <c r="L42" s="101"/>
      <c r="M42" s="101"/>
    </row>
    <row r="43" spans="1:13" s="1" customFormat="1" ht="14.4" x14ac:dyDescent="0.3">
      <c r="A43" s="6"/>
      <c r="B43" s="82"/>
      <c r="C43" s="83"/>
      <c r="D43" s="83"/>
      <c r="E43" s="83"/>
      <c r="F43" s="83"/>
      <c r="G43" s="83"/>
      <c r="H43" s="83"/>
      <c r="I43" s="101"/>
      <c r="J43" s="101"/>
      <c r="K43" s="101"/>
      <c r="L43" s="101"/>
      <c r="M43" s="101"/>
    </row>
    <row r="44" spans="1:13" s="1" customFormat="1" ht="69" customHeight="1" x14ac:dyDescent="0.3">
      <c r="A44" s="6"/>
      <c r="B44" s="84"/>
      <c r="C44" s="85"/>
      <c r="D44" s="85"/>
      <c r="E44" s="85"/>
      <c r="F44" s="85"/>
      <c r="G44" s="85"/>
      <c r="H44" s="85"/>
      <c r="I44" s="101"/>
      <c r="J44" s="101"/>
      <c r="K44" s="101"/>
      <c r="L44" s="101"/>
      <c r="M44" s="101"/>
    </row>
    <row r="45" spans="1:13" s="1" customFormat="1" ht="14.4" x14ac:dyDescent="0.3">
      <c r="B45" s="4"/>
      <c r="C45" s="5"/>
      <c r="D45" s="4"/>
      <c r="E45" s="4"/>
      <c r="F45" s="5"/>
      <c r="G45" s="4"/>
      <c r="H45" s="4"/>
      <c r="I45" s="4"/>
      <c r="J45" s="4"/>
      <c r="K45" s="4"/>
      <c r="L45" s="4"/>
      <c r="M45" s="4"/>
    </row>
    <row r="46" spans="1:13" s="1" customFormat="1" ht="14.4" x14ac:dyDescent="0.3">
      <c r="A46" s="6"/>
      <c r="B46" s="144" t="s">
        <v>65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22"/>
    </row>
    <row r="47" spans="1:13" s="1" customFormat="1" ht="14.4" x14ac:dyDescent="0.3">
      <c r="A47" s="6"/>
      <c r="B47" s="145" t="s">
        <v>66</v>
      </c>
      <c r="C47" s="117"/>
      <c r="D47" s="117"/>
      <c r="E47" s="122"/>
      <c r="F47" s="159" t="s">
        <v>67</v>
      </c>
      <c r="G47" s="142"/>
      <c r="H47" s="142"/>
      <c r="I47" s="147"/>
      <c r="J47" s="146" t="s">
        <v>68</v>
      </c>
      <c r="K47" s="147"/>
      <c r="L47" s="146" t="s">
        <v>69</v>
      </c>
      <c r="M47" s="147"/>
    </row>
    <row r="48" spans="1:13" s="1" customFormat="1" ht="14.4" x14ac:dyDescent="0.3">
      <c r="A48" s="6"/>
      <c r="B48" s="80"/>
      <c r="C48" s="81"/>
      <c r="D48" s="81"/>
      <c r="E48" s="81"/>
      <c r="F48" s="100"/>
      <c r="G48" s="101"/>
      <c r="H48" s="101"/>
      <c r="I48" s="101"/>
      <c r="J48" s="102"/>
      <c r="K48" s="101"/>
      <c r="L48" s="100"/>
      <c r="M48" s="101"/>
    </row>
    <row r="49" spans="1:26" s="1" customFormat="1" ht="14.4" x14ac:dyDescent="0.3">
      <c r="A49" s="6"/>
      <c r="B49" s="82"/>
      <c r="C49" s="83"/>
      <c r="D49" s="83"/>
      <c r="E49" s="83"/>
      <c r="F49" s="101"/>
      <c r="G49" s="101"/>
      <c r="H49" s="101"/>
      <c r="I49" s="101"/>
      <c r="J49" s="101"/>
      <c r="K49" s="101"/>
      <c r="L49" s="101"/>
      <c r="M49" s="101"/>
    </row>
    <row r="50" spans="1:26" s="1" customFormat="1" ht="14.4" x14ac:dyDescent="0.3">
      <c r="A50" s="6"/>
      <c r="B50" s="82"/>
      <c r="C50" s="83"/>
      <c r="D50" s="83"/>
      <c r="E50" s="83"/>
      <c r="F50" s="101"/>
      <c r="G50" s="101"/>
      <c r="H50" s="101"/>
      <c r="I50" s="101"/>
      <c r="J50" s="101"/>
      <c r="K50" s="101"/>
      <c r="L50" s="101"/>
      <c r="M50" s="101"/>
    </row>
    <row r="51" spans="1:26" s="1" customFormat="1" ht="14.4" x14ac:dyDescent="0.3">
      <c r="A51" s="6"/>
      <c r="B51" s="82"/>
      <c r="C51" s="83"/>
      <c r="D51" s="83"/>
      <c r="E51" s="83"/>
      <c r="F51" s="101"/>
      <c r="G51" s="101"/>
      <c r="H51" s="101"/>
      <c r="I51" s="101"/>
      <c r="J51" s="101"/>
      <c r="K51" s="101"/>
      <c r="L51" s="101"/>
      <c r="M51" s="101"/>
    </row>
    <row r="52" spans="1:26" s="1" customFormat="1" ht="14.4" x14ac:dyDescent="0.3">
      <c r="A52" s="6"/>
      <c r="B52" s="84"/>
      <c r="C52" s="85"/>
      <c r="D52" s="85"/>
      <c r="E52" s="85"/>
      <c r="F52" s="101"/>
      <c r="G52" s="101"/>
      <c r="H52" s="101"/>
      <c r="I52" s="101"/>
      <c r="J52" s="101"/>
      <c r="K52" s="101"/>
      <c r="L52" s="101"/>
      <c r="M52" s="101"/>
    </row>
    <row r="53" spans="1:26" s="1" customFormat="1" ht="14.4" x14ac:dyDescent="0.3">
      <c r="C53" s="2"/>
      <c r="F53" s="2"/>
    </row>
    <row r="54" spans="1:26" s="1" customFormat="1" ht="15" thickBot="1" x14ac:dyDescent="0.35">
      <c r="B54" s="4"/>
      <c r="C54" s="5"/>
      <c r="D54" s="4"/>
      <c r="E54" s="4"/>
      <c r="F54" s="5"/>
      <c r="G54" s="4"/>
      <c r="H54" s="4"/>
      <c r="I54" s="4"/>
      <c r="J54" s="4"/>
      <c r="K54" s="4"/>
      <c r="L54" s="4"/>
      <c r="M54" s="4"/>
    </row>
    <row r="55" spans="1:26" s="1" customFormat="1" ht="15" thickBot="1" x14ac:dyDescent="0.35">
      <c r="A55" s="2"/>
      <c r="B55" s="86" t="s">
        <v>70</v>
      </c>
      <c r="C55" s="87"/>
      <c r="D55" s="87"/>
      <c r="E55" s="87"/>
      <c r="F55" s="87"/>
      <c r="G55" s="87"/>
      <c r="H55" s="87"/>
      <c r="I55" s="8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s="1" customFormat="1" ht="15" thickBot="1" x14ac:dyDescent="0.35">
      <c r="A56" s="2"/>
      <c r="B56" s="52" t="s">
        <v>16</v>
      </c>
      <c r="C56" s="41" t="s">
        <v>71</v>
      </c>
      <c r="D56" s="89" t="s">
        <v>72</v>
      </c>
      <c r="E56" s="90"/>
      <c r="F56" s="41" t="s">
        <v>73</v>
      </c>
      <c r="G56" s="89" t="s">
        <v>74</v>
      </c>
      <c r="H56" s="91"/>
      <c r="I56" s="9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s="1" customFormat="1" ht="28.95" customHeight="1" thickBot="1" x14ac:dyDescent="0.35">
      <c r="A57" s="2"/>
      <c r="B57" s="53">
        <v>1</v>
      </c>
      <c r="C57" s="42" t="s">
        <v>75</v>
      </c>
      <c r="D57" s="92" t="s">
        <v>76</v>
      </c>
      <c r="E57" s="93"/>
      <c r="F57" s="43">
        <f>SUM(L17:L24)*80%</f>
        <v>0</v>
      </c>
      <c r="G57" s="94">
        <f>SUM(F57:F58)</f>
        <v>0</v>
      </c>
      <c r="H57" s="95"/>
      <c r="I57" s="96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s="1" customFormat="1" ht="28.95" customHeight="1" thickBot="1" x14ac:dyDescent="0.35">
      <c r="A58" s="2"/>
      <c r="B58" s="54">
        <v>2</v>
      </c>
      <c r="C58" s="44" t="s">
        <v>77</v>
      </c>
      <c r="D58" s="92" t="s">
        <v>78</v>
      </c>
      <c r="E58" s="93"/>
      <c r="F58" s="43">
        <f>SUM(L29:L31)*20%</f>
        <v>0</v>
      </c>
      <c r="G58" s="97"/>
      <c r="H58" s="98"/>
      <c r="I58" s="9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s="1" customFormat="1" ht="15" thickBot="1" x14ac:dyDescent="0.35">
      <c r="A59" s="2"/>
      <c r="B59" s="110" t="s">
        <v>79</v>
      </c>
      <c r="C59" s="111"/>
      <c r="D59" s="111"/>
      <c r="E59" s="111"/>
      <c r="F59" s="111"/>
      <c r="G59" s="165"/>
      <c r="H59" s="165"/>
      <c r="I59" s="16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s="1" customFormat="1" ht="14.4" x14ac:dyDescent="0.3">
      <c r="A60" s="2"/>
      <c r="B60" s="55"/>
      <c r="C60" s="55"/>
      <c r="D60" s="55"/>
      <c r="E60" s="55"/>
      <c r="F60" s="55"/>
      <c r="G60" s="55"/>
      <c r="H60" s="55"/>
      <c r="I60" s="5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s="1" customFormat="1" ht="15" thickBot="1" x14ac:dyDescent="0.35">
      <c r="A61" s="2"/>
      <c r="B61" s="56"/>
      <c r="C61" s="56"/>
      <c r="D61" s="56"/>
      <c r="E61" s="56"/>
      <c r="F61" s="56"/>
      <c r="G61" s="56"/>
      <c r="H61" s="56"/>
      <c r="I61" s="56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s="1" customFormat="1" ht="14.4" x14ac:dyDescent="0.3">
      <c r="A62" s="2"/>
      <c r="B62" s="160" t="s">
        <v>80</v>
      </c>
      <c r="C62" s="161"/>
      <c r="D62" s="162" t="s">
        <v>81</v>
      </c>
      <c r="E62" s="163"/>
      <c r="F62" s="45" t="s">
        <v>82</v>
      </c>
      <c r="G62" s="160" t="s">
        <v>83</v>
      </c>
      <c r="H62" s="164"/>
      <c r="I62" s="16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s="1" customFormat="1" ht="14.4" x14ac:dyDescent="0.3">
      <c r="A63" s="2"/>
      <c r="B63" s="166">
        <f>G57</f>
        <v>0</v>
      </c>
      <c r="C63" s="167"/>
      <c r="D63" s="172" t="str">
        <f>IF(B63&lt;76%,"Poor",IF(B63&lt; 85%,"Fair",IF(B63&lt;115%,"Good",IF(B63&lt;125%,"Very Good","Excellent"))))</f>
        <v>Poor</v>
      </c>
      <c r="E63" s="173"/>
      <c r="F63" s="178"/>
      <c r="G63" s="181"/>
      <c r="H63" s="182"/>
      <c r="I63" s="18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s="1" customFormat="1" ht="14.4" x14ac:dyDescent="0.3">
      <c r="A64" s="2"/>
      <c r="B64" s="168"/>
      <c r="C64" s="169"/>
      <c r="D64" s="174"/>
      <c r="E64" s="175"/>
      <c r="F64" s="179"/>
      <c r="G64" s="184"/>
      <c r="H64" s="185"/>
      <c r="I64" s="18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s="1" customFormat="1" ht="14.4" x14ac:dyDescent="0.3">
      <c r="A65" s="2"/>
      <c r="B65" s="168"/>
      <c r="C65" s="169"/>
      <c r="D65" s="174"/>
      <c r="E65" s="175"/>
      <c r="F65" s="179"/>
      <c r="G65" s="184"/>
      <c r="H65" s="185"/>
      <c r="I65" s="18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s="1" customFormat="1" ht="14.4" x14ac:dyDescent="0.3">
      <c r="A66" s="2"/>
      <c r="B66" s="168"/>
      <c r="C66" s="169"/>
      <c r="D66" s="174"/>
      <c r="E66" s="175"/>
      <c r="F66" s="179"/>
      <c r="G66" s="184"/>
      <c r="H66" s="185"/>
      <c r="I66" s="18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s="1" customFormat="1" ht="15" thickBot="1" x14ac:dyDescent="0.35">
      <c r="A67" s="2"/>
      <c r="B67" s="170"/>
      <c r="C67" s="171"/>
      <c r="D67" s="176"/>
      <c r="E67" s="177"/>
      <c r="F67" s="180"/>
      <c r="G67" s="187"/>
      <c r="H67" s="188"/>
      <c r="I67" s="189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s="1" customFormat="1" ht="14.4" x14ac:dyDescent="0.3">
      <c r="C68" s="2"/>
      <c r="F68" s="2"/>
    </row>
    <row r="69" spans="1:26" s="1" customFormat="1" ht="14.4" x14ac:dyDescent="0.3">
      <c r="C69" s="2"/>
      <c r="F69" s="2"/>
    </row>
    <row r="70" spans="1:26" s="1" customFormat="1" ht="14.4" x14ac:dyDescent="0.3">
      <c r="B70" s="4"/>
      <c r="C70" s="5"/>
      <c r="D70" s="4"/>
      <c r="E70" s="4"/>
      <c r="F70" s="5"/>
      <c r="G70" s="4"/>
      <c r="H70" s="4"/>
      <c r="I70" s="4"/>
      <c r="J70" s="4"/>
      <c r="K70" s="4"/>
      <c r="L70" s="4"/>
      <c r="M70" s="4"/>
    </row>
    <row r="71" spans="1:26" s="1" customFormat="1" ht="14.4" x14ac:dyDescent="0.3">
      <c r="A71" s="6"/>
      <c r="B71" s="4" t="s">
        <v>3</v>
      </c>
      <c r="C71" s="5"/>
      <c r="D71" s="27"/>
      <c r="E71" s="68" t="s">
        <v>2</v>
      </c>
      <c r="F71" s="69"/>
      <c r="G71" s="70"/>
      <c r="H71" s="68" t="s">
        <v>84</v>
      </c>
      <c r="I71" s="69"/>
      <c r="J71" s="70"/>
      <c r="K71" s="68" t="s">
        <v>85</v>
      </c>
      <c r="L71" s="69"/>
      <c r="M71" s="70"/>
    </row>
    <row r="72" spans="1:26" s="1" customFormat="1" ht="14.4" x14ac:dyDescent="0.3">
      <c r="A72" s="6"/>
      <c r="B72" s="71" t="s">
        <v>86</v>
      </c>
      <c r="C72" s="103"/>
      <c r="D72" s="104"/>
      <c r="E72" s="71" t="s">
        <v>87</v>
      </c>
      <c r="F72" s="72"/>
      <c r="G72" s="73"/>
      <c r="H72" s="71" t="s">
        <v>88</v>
      </c>
      <c r="I72" s="72"/>
      <c r="J72" s="73"/>
      <c r="K72" s="71" t="s">
        <v>88</v>
      </c>
      <c r="L72" s="72"/>
      <c r="M72" s="73"/>
    </row>
    <row r="73" spans="1:26" s="1" customFormat="1" ht="14.4" x14ac:dyDescent="0.3">
      <c r="A73" s="6"/>
      <c r="B73" s="105"/>
      <c r="C73" s="75"/>
      <c r="D73" s="106"/>
      <c r="E73" s="74"/>
      <c r="F73" s="75"/>
      <c r="G73" s="76"/>
      <c r="H73" s="74"/>
      <c r="I73" s="75"/>
      <c r="J73" s="76"/>
      <c r="K73" s="74"/>
      <c r="L73" s="75"/>
      <c r="M73" s="76"/>
    </row>
    <row r="74" spans="1:26" s="1" customFormat="1" ht="14.4" x14ac:dyDescent="0.3">
      <c r="A74" s="6"/>
      <c r="B74" s="105"/>
      <c r="C74" s="75"/>
      <c r="D74" s="106"/>
      <c r="E74" s="74"/>
      <c r="F74" s="75"/>
      <c r="G74" s="76"/>
      <c r="H74" s="74"/>
      <c r="I74" s="75"/>
      <c r="J74" s="76"/>
      <c r="K74" s="74"/>
      <c r="L74" s="75"/>
      <c r="M74" s="76"/>
    </row>
    <row r="75" spans="1:26" s="1" customFormat="1" ht="14.4" x14ac:dyDescent="0.3">
      <c r="A75" s="6"/>
      <c r="B75" s="105"/>
      <c r="C75" s="75"/>
      <c r="D75" s="106"/>
      <c r="E75" s="74"/>
      <c r="F75" s="75"/>
      <c r="G75" s="76"/>
      <c r="H75" s="74"/>
      <c r="I75" s="75"/>
      <c r="J75" s="76"/>
      <c r="K75" s="74"/>
      <c r="L75" s="75"/>
      <c r="M75" s="76"/>
    </row>
    <row r="76" spans="1:26" s="1" customFormat="1" ht="14.4" x14ac:dyDescent="0.3">
      <c r="A76" s="6"/>
      <c r="B76" s="107"/>
      <c r="C76" s="108"/>
      <c r="D76" s="109"/>
      <c r="E76" s="77"/>
      <c r="F76" s="78"/>
      <c r="G76" s="79"/>
      <c r="H76" s="77"/>
      <c r="I76" s="78"/>
      <c r="J76" s="79"/>
      <c r="K76" s="77"/>
      <c r="L76" s="78"/>
      <c r="M76" s="79"/>
    </row>
    <row r="77" spans="1:26" s="1" customFormat="1" ht="14.4" x14ac:dyDescent="0.3">
      <c r="C77" s="2"/>
      <c r="F77" s="2"/>
    </row>
    <row r="78" spans="1:26" s="1" customFormat="1" ht="14.4" x14ac:dyDescent="0.3">
      <c r="B78" s="30"/>
      <c r="C78" s="31"/>
      <c r="D78" s="30"/>
      <c r="E78" s="30"/>
      <c r="F78" s="31"/>
      <c r="G78" s="30"/>
      <c r="H78" s="30"/>
      <c r="I78" s="30"/>
      <c r="J78" s="30"/>
      <c r="K78" s="30"/>
      <c r="L78" s="30"/>
      <c r="M78" s="30"/>
    </row>
    <row r="79" spans="1:26" s="1" customFormat="1" ht="14.4" x14ac:dyDescent="0.3">
      <c r="B79" s="1" t="s">
        <v>89</v>
      </c>
      <c r="C79" s="2"/>
      <c r="F79" s="2"/>
    </row>
    <row r="80" spans="1:26" s="1" customFormat="1" ht="14.4" x14ac:dyDescent="0.3">
      <c r="B80" s="116" t="s">
        <v>90</v>
      </c>
      <c r="C80" s="117"/>
      <c r="D80" s="4"/>
      <c r="F80" s="2"/>
      <c r="G80" s="4"/>
      <c r="H80" s="4"/>
      <c r="I80" s="4"/>
      <c r="K80" s="4"/>
      <c r="L80" s="4"/>
    </row>
    <row r="81" spans="1:12" s="1" customFormat="1" ht="14.4" x14ac:dyDescent="0.3">
      <c r="A81" s="6"/>
      <c r="B81" s="32" t="s">
        <v>91</v>
      </c>
      <c r="C81" s="33"/>
      <c r="D81" s="34"/>
      <c r="F81" s="35"/>
      <c r="G81" s="112" t="s">
        <v>92</v>
      </c>
      <c r="H81" s="69"/>
      <c r="I81" s="70"/>
      <c r="J81" s="6"/>
      <c r="K81" s="112" t="s">
        <v>93</v>
      </c>
      <c r="L81" s="70"/>
    </row>
    <row r="82" spans="1:12" s="1" customFormat="1" ht="14.4" x14ac:dyDescent="0.3">
      <c r="A82" s="6"/>
      <c r="B82" s="32" t="s">
        <v>80</v>
      </c>
      <c r="C82" s="36"/>
      <c r="D82" s="37" t="s">
        <v>81</v>
      </c>
      <c r="F82" s="35"/>
      <c r="G82" s="113" t="s">
        <v>94</v>
      </c>
      <c r="H82" s="70"/>
      <c r="I82" s="38" t="s">
        <v>24</v>
      </c>
      <c r="J82" s="6"/>
      <c r="K82" s="39" t="s">
        <v>94</v>
      </c>
      <c r="L82" s="38" t="s">
        <v>24</v>
      </c>
    </row>
    <row r="83" spans="1:12" s="1" customFormat="1" ht="14.4" x14ac:dyDescent="0.3">
      <c r="A83" s="6"/>
      <c r="B83" s="118" t="s">
        <v>95</v>
      </c>
      <c r="C83" s="119"/>
      <c r="D83" s="27" t="s">
        <v>96</v>
      </c>
      <c r="F83" s="35"/>
      <c r="G83" s="68" t="s">
        <v>95</v>
      </c>
      <c r="H83" s="70"/>
      <c r="I83" s="40">
        <v>5</v>
      </c>
      <c r="J83" s="6"/>
      <c r="K83" s="27" t="s">
        <v>97</v>
      </c>
      <c r="L83" s="40">
        <v>5</v>
      </c>
    </row>
    <row r="84" spans="1:12" s="1" customFormat="1" ht="14.4" x14ac:dyDescent="0.3">
      <c r="A84" s="6"/>
      <c r="B84" s="118" t="s">
        <v>98</v>
      </c>
      <c r="C84" s="119"/>
      <c r="D84" s="27" t="s">
        <v>99</v>
      </c>
      <c r="F84" s="35"/>
      <c r="G84" s="68" t="s">
        <v>98</v>
      </c>
      <c r="H84" s="70"/>
      <c r="I84" s="40">
        <v>4</v>
      </c>
      <c r="J84" s="6"/>
      <c r="K84" s="27" t="s">
        <v>100</v>
      </c>
      <c r="L84" s="40">
        <v>4</v>
      </c>
    </row>
    <row r="85" spans="1:12" s="1" customFormat="1" ht="14.4" x14ac:dyDescent="0.3">
      <c r="A85" s="6"/>
      <c r="B85" s="118" t="s">
        <v>101</v>
      </c>
      <c r="C85" s="119"/>
      <c r="D85" s="27" t="s">
        <v>102</v>
      </c>
      <c r="F85" s="35"/>
      <c r="G85" s="68" t="s">
        <v>101</v>
      </c>
      <c r="H85" s="70"/>
      <c r="I85" s="40">
        <v>3</v>
      </c>
      <c r="J85" s="6"/>
      <c r="K85" s="27" t="s">
        <v>103</v>
      </c>
      <c r="L85" s="40">
        <v>3</v>
      </c>
    </row>
    <row r="86" spans="1:12" s="1" customFormat="1" ht="14.4" x14ac:dyDescent="0.3">
      <c r="A86" s="6"/>
      <c r="B86" s="118" t="s">
        <v>104</v>
      </c>
      <c r="C86" s="119"/>
      <c r="D86" s="27" t="s">
        <v>105</v>
      </c>
      <c r="F86" s="35"/>
      <c r="G86" s="68" t="s">
        <v>104</v>
      </c>
      <c r="H86" s="70"/>
      <c r="I86" s="40">
        <v>2</v>
      </c>
      <c r="J86" s="6"/>
      <c r="K86" s="27" t="s">
        <v>106</v>
      </c>
      <c r="L86" s="40">
        <v>2</v>
      </c>
    </row>
    <row r="87" spans="1:12" s="1" customFormat="1" ht="14.4" x14ac:dyDescent="0.3">
      <c r="A87" s="6"/>
      <c r="B87" s="120" t="s">
        <v>107</v>
      </c>
      <c r="C87" s="119"/>
      <c r="D87" s="27" t="s">
        <v>108</v>
      </c>
      <c r="F87" s="35"/>
      <c r="G87" s="114" t="s">
        <v>107</v>
      </c>
      <c r="H87" s="70"/>
      <c r="I87" s="40">
        <v>1</v>
      </c>
      <c r="J87" s="6"/>
      <c r="K87" s="27" t="s">
        <v>109</v>
      </c>
      <c r="L87" s="40">
        <v>1</v>
      </c>
    </row>
    <row r="88" spans="1:12" s="1" customFormat="1" ht="14.4" x14ac:dyDescent="0.3">
      <c r="C88" s="2"/>
      <c r="F88" s="2"/>
    </row>
    <row r="89" spans="1:12" s="1" customFormat="1" ht="14.4" x14ac:dyDescent="0.3">
      <c r="B89" s="4" t="s">
        <v>110</v>
      </c>
      <c r="C89" s="5"/>
      <c r="D89" s="4"/>
      <c r="F89" s="2"/>
    </row>
    <row r="90" spans="1:12" s="1" customFormat="1" ht="14.4" x14ac:dyDescent="0.3">
      <c r="A90" s="6"/>
      <c r="B90" s="4" t="s">
        <v>111</v>
      </c>
      <c r="C90" s="28"/>
      <c r="D90" s="40" t="e">
        <v>#NAME?</v>
      </c>
      <c r="F90" s="2"/>
    </row>
    <row r="91" spans="1:12" s="1" customFormat="1" ht="14.4" x14ac:dyDescent="0.3">
      <c r="A91" s="6"/>
      <c r="B91" s="4" t="s">
        <v>80</v>
      </c>
      <c r="C91" s="28"/>
      <c r="D91" s="40" t="e">
        <v>#NAME?</v>
      </c>
      <c r="F91" s="2"/>
    </row>
    <row r="92" spans="1:12" s="1" customFormat="1" ht="14.4" x14ac:dyDescent="0.3">
      <c r="A92" s="6"/>
      <c r="B92" s="4" t="s">
        <v>79</v>
      </c>
      <c r="C92" s="28"/>
      <c r="D92" s="40" t="e">
        <v>#NAME?</v>
      </c>
      <c r="F92" s="2"/>
    </row>
    <row r="93" spans="1:12" s="1" customFormat="1" ht="14.4" x14ac:dyDescent="0.3">
      <c r="C93" s="2"/>
      <c r="F93" s="2"/>
    </row>
    <row r="94" spans="1:12" s="1" customFormat="1" ht="14.4" x14ac:dyDescent="0.3">
      <c r="B94" s="115" t="s">
        <v>112</v>
      </c>
      <c r="C94" s="115"/>
      <c r="F94" s="2"/>
    </row>
    <row r="95" spans="1:12" s="1" customFormat="1" ht="14.4" x14ac:dyDescent="0.3">
      <c r="B95" s="1" t="s">
        <v>111</v>
      </c>
      <c r="C95" s="2"/>
      <c r="E95" s="1" t="s">
        <v>113</v>
      </c>
      <c r="F95" s="2"/>
    </row>
    <row r="96" spans="1:12" s="1" customFormat="1" ht="14.4" x14ac:dyDescent="0.3">
      <c r="C96" s="2"/>
      <c r="F96" s="2"/>
    </row>
    <row r="97" spans="1:26" s="1" customFormat="1" ht="14.4" x14ac:dyDescent="0.3">
      <c r="C97" s="2"/>
      <c r="F97" s="2"/>
    </row>
    <row r="98" spans="1:26" s="1" customFormat="1" ht="14.4" x14ac:dyDescent="0.3">
      <c r="C98" s="2"/>
      <c r="F98" s="2"/>
    </row>
    <row r="99" spans="1:26" ht="14.4" x14ac:dyDescent="0.3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C981" s="29"/>
      <c r="F981" s="29"/>
    </row>
    <row r="982" spans="1:26" ht="13.2" x14ac:dyDescent="0.25">
      <c r="C982" s="29"/>
      <c r="F982" s="29"/>
    </row>
    <row r="983" spans="1:26" ht="13.2" x14ac:dyDescent="0.25">
      <c r="C983" s="29"/>
      <c r="F983" s="29"/>
    </row>
    <row r="984" spans="1:26" ht="13.2" x14ac:dyDescent="0.25">
      <c r="C984" s="29"/>
      <c r="F984" s="29"/>
    </row>
    <row r="985" spans="1:26" ht="13.2" x14ac:dyDescent="0.25">
      <c r="C985" s="29"/>
      <c r="F985" s="29"/>
    </row>
    <row r="986" spans="1:26" ht="13.2" x14ac:dyDescent="0.25">
      <c r="C986" s="29"/>
      <c r="F986" s="29"/>
    </row>
    <row r="987" spans="1:26" ht="13.2" x14ac:dyDescent="0.25">
      <c r="C987" s="29"/>
      <c r="F987" s="29"/>
    </row>
    <row r="988" spans="1:26" ht="13.2" x14ac:dyDescent="0.25">
      <c r="C988" s="29"/>
      <c r="F988" s="29"/>
    </row>
    <row r="989" spans="1:26" ht="13.2" x14ac:dyDescent="0.25">
      <c r="C989" s="29"/>
      <c r="F989" s="29"/>
    </row>
    <row r="990" spans="1:26" ht="13.2" x14ac:dyDescent="0.25">
      <c r="C990" s="29"/>
      <c r="F990" s="29"/>
    </row>
    <row r="991" spans="1:26" ht="13.2" x14ac:dyDescent="0.25">
      <c r="C991" s="29"/>
      <c r="F991" s="29"/>
    </row>
    <row r="992" spans="1:26" ht="13.2" x14ac:dyDescent="0.25">
      <c r="C992" s="29"/>
      <c r="F992" s="29"/>
    </row>
    <row r="993" spans="3:6" ht="13.2" x14ac:dyDescent="0.25">
      <c r="C993" s="29"/>
      <c r="F993" s="29"/>
    </row>
    <row r="994" spans="3:6" ht="13.2" x14ac:dyDescent="0.25">
      <c r="C994" s="29"/>
      <c r="F994" s="29"/>
    </row>
    <row r="995" spans="3:6" ht="13.2" x14ac:dyDescent="0.25">
      <c r="C995" s="29"/>
      <c r="F995" s="29"/>
    </row>
    <row r="996" spans="3:6" ht="13.2" x14ac:dyDescent="0.25">
      <c r="C996" s="29"/>
      <c r="F996" s="29"/>
    </row>
    <row r="997" spans="3:6" ht="13.2" x14ac:dyDescent="0.25">
      <c r="C997" s="29"/>
      <c r="F997" s="29"/>
    </row>
  </sheetData>
  <mergeCells count="81">
    <mergeCell ref="B62:C62"/>
    <mergeCell ref="D62:E62"/>
    <mergeCell ref="E71:G71"/>
    <mergeCell ref="G62:I62"/>
    <mergeCell ref="G59:I59"/>
    <mergeCell ref="B63:C67"/>
    <mergeCell ref="D63:E67"/>
    <mergeCell ref="F63:F67"/>
    <mergeCell ref="G63:I67"/>
    <mergeCell ref="H71:J71"/>
    <mergeCell ref="B46:M46"/>
    <mergeCell ref="M27:M28"/>
    <mergeCell ref="B47:E47"/>
    <mergeCell ref="J47:K47"/>
    <mergeCell ref="L47:M47"/>
    <mergeCell ref="B41:H44"/>
    <mergeCell ref="B33:M33"/>
    <mergeCell ref="B39:M39"/>
    <mergeCell ref="B34:M37"/>
    <mergeCell ref="B40:H40"/>
    <mergeCell ref="I40:M40"/>
    <mergeCell ref="I41:M44"/>
    <mergeCell ref="F47:I47"/>
    <mergeCell ref="B26:M26"/>
    <mergeCell ref="B27:B28"/>
    <mergeCell ref="C27:C28"/>
    <mergeCell ref="D27:D28"/>
    <mergeCell ref="E27:E28"/>
    <mergeCell ref="F27:F28"/>
    <mergeCell ref="G27:I27"/>
    <mergeCell ref="J27:K27"/>
    <mergeCell ref="L27:L28"/>
    <mergeCell ref="C3:M3"/>
    <mergeCell ref="B4:M4"/>
    <mergeCell ref="B6:C6"/>
    <mergeCell ref="H6:K6"/>
    <mergeCell ref="I7:K7"/>
    <mergeCell ref="I8:K8"/>
    <mergeCell ref="I9:K9"/>
    <mergeCell ref="F15:F16"/>
    <mergeCell ref="G15:I15"/>
    <mergeCell ref="J15:K15"/>
    <mergeCell ref="I10:K10"/>
    <mergeCell ref="B14:M14"/>
    <mergeCell ref="B15:B16"/>
    <mergeCell ref="C15:C16"/>
    <mergeCell ref="D15:D16"/>
    <mergeCell ref="E15:E16"/>
    <mergeCell ref="M15:M16"/>
    <mergeCell ref="L15:L16"/>
    <mergeCell ref="G86:H86"/>
    <mergeCell ref="G87:H87"/>
    <mergeCell ref="B94:C94"/>
    <mergeCell ref="B80:C80"/>
    <mergeCell ref="G81:I81"/>
    <mergeCell ref="B83:C83"/>
    <mergeCell ref="B84:C84"/>
    <mergeCell ref="B85:C85"/>
    <mergeCell ref="B86:C86"/>
    <mergeCell ref="B87:C87"/>
    <mergeCell ref="K81:L81"/>
    <mergeCell ref="G82:H82"/>
    <mergeCell ref="G83:H83"/>
    <mergeCell ref="G84:H84"/>
    <mergeCell ref="G85:H85"/>
    <mergeCell ref="K71:M71"/>
    <mergeCell ref="E72:G76"/>
    <mergeCell ref="H72:J76"/>
    <mergeCell ref="K72:M76"/>
    <mergeCell ref="B48:E52"/>
    <mergeCell ref="B55:I55"/>
    <mergeCell ref="D56:E56"/>
    <mergeCell ref="G56:I56"/>
    <mergeCell ref="D57:E57"/>
    <mergeCell ref="G57:I58"/>
    <mergeCell ref="F48:I52"/>
    <mergeCell ref="J48:K52"/>
    <mergeCell ref="L48:M52"/>
    <mergeCell ref="B72:D76"/>
    <mergeCell ref="D58:E58"/>
    <mergeCell ref="B59:F59"/>
  </mergeCells>
  <pageMargins left="0.7" right="0.7" top="0.75" bottom="0.75" header="0.3" footer="0.3"/>
  <pageSetup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8C2C2471F3564F9B423CB4DD1FE346" ma:contentTypeVersion="0" ma:contentTypeDescription="Create a new document." ma:contentTypeScope="" ma:versionID="f87829e2a5a18e71e3c3484c6afab82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6768A5-230B-4FA9-8890-9801EB54B81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FE31483-85BB-414A-BB9E-D1113EA355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A0148FA-372C-4C1E-9683-C88A92E6D0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sonny saputra</dc:creator>
  <cp:keywords/>
  <dc:description/>
  <cp:lastModifiedBy>Robert Tanjung</cp:lastModifiedBy>
  <cp:revision/>
  <dcterms:created xsi:type="dcterms:W3CDTF">2022-06-20T08:15:16Z</dcterms:created>
  <dcterms:modified xsi:type="dcterms:W3CDTF">2026-05-07T03:03:10Z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0x010100BD8C2C2471F3564F9B423CB4DD1FE346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